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2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132" windowWidth="22932" windowHeight="9384" activeTab="1"/>
  </bookViews>
  <sheets>
    <sheet name="характеристики" sheetId="1" r:id="rId1"/>
    <sheet name="справка" sheetId="2" r:id="rId2"/>
  </sheets>
  <calcPr calcId="124519"/>
</workbook>
</file>

<file path=xl/calcChain.xml><?xml version="1.0" encoding="utf-8"?>
<calcChain xmlns="http://schemas.openxmlformats.org/spreadsheetml/2006/main">
  <c r="B2" i="1"/>
  <c r="B18" i="2" s="1"/>
  <c r="B3" i="1"/>
  <c r="B1"/>
  <c r="B5"/>
  <c r="B8"/>
  <c r="B17" i="2" l="1"/>
</calcChain>
</file>

<file path=xl/sharedStrings.xml><?xml version="1.0" encoding="utf-8"?>
<sst xmlns="http://schemas.openxmlformats.org/spreadsheetml/2006/main" count="72" uniqueCount="52">
  <si>
    <t xml:space="preserve"> Название программы</t>
  </si>
  <si>
    <t xml:space="preserve"> Версия</t>
  </si>
  <si>
    <t>Разработчик (фирма)</t>
  </si>
  <si>
    <t xml:space="preserve"> Поддерживаемые форматы файлов</t>
  </si>
  <si>
    <t>Максимальный размер таблицы</t>
  </si>
  <si>
    <t>Количество листов в книге</t>
  </si>
  <si>
    <t>Наличие встроенных функций</t>
  </si>
  <si>
    <t xml:space="preserve"> Поддержка пользовательских макросов</t>
  </si>
  <si>
    <t>Совместная работа</t>
  </si>
  <si>
    <t>Интеграция с другими приложениями</t>
  </si>
  <si>
    <t>Возможность визуализации (графики, диаграммы)</t>
  </si>
  <si>
    <t>Интерфейс (язык, удобство)</t>
  </si>
  <si>
    <t>Поддержка операций с базами данных</t>
  </si>
  <si>
    <t>Условное форматирование</t>
  </si>
  <si>
    <t>Защита данных</t>
  </si>
  <si>
    <t>Автоматическое обновление формул</t>
  </si>
  <si>
    <t>Наличие шаблонов</t>
  </si>
  <si>
    <t>Возможность импорта/экспорта данных</t>
  </si>
  <si>
    <t>Поддержка скриптов и расширений</t>
  </si>
  <si>
    <t>Платформа (Windows, macOS, Linux, онлайн)</t>
  </si>
  <si>
    <t>Наличие мобильной версии</t>
  </si>
  <si>
    <t>История и репутация</t>
  </si>
  <si>
    <t>Поддержка пользователей и обучение</t>
  </si>
  <si>
    <t>Лицензия (бесплатная, платная, open source)</t>
  </si>
  <si>
    <t>Дополнительные инструменты (анализ данных, сводные таблицы)</t>
  </si>
  <si>
    <t>Стоимость</t>
  </si>
  <si>
    <t>Дата выпуска версии</t>
  </si>
  <si>
    <t>Поддержка облачного хранения</t>
  </si>
  <si>
    <t xml:space="preserve"> Возможности для совместного редактирования в реальном времени</t>
  </si>
  <si>
    <t>Интеграция с другими сервисами (например, CRM, ERP)</t>
  </si>
  <si>
    <t>мин. Цена</t>
  </si>
  <si>
    <t>категория</t>
  </si>
  <si>
    <t>низкая</t>
  </si>
  <si>
    <t>средняя</t>
  </si>
  <si>
    <t>высокая</t>
  </si>
  <si>
    <t>премиум</t>
  </si>
  <si>
    <t>Категория</t>
  </si>
  <si>
    <t>Название</t>
  </si>
  <si>
    <t>версия</t>
  </si>
  <si>
    <t>год выпуска</t>
  </si>
  <si>
    <t>Exel</t>
  </si>
  <si>
    <t>Частота обновлений(1 раз во сколько лет)</t>
  </si>
  <si>
    <t>Да</t>
  </si>
  <si>
    <t>Нет</t>
  </si>
  <si>
    <t>xlxs</t>
  </si>
  <si>
    <t>бесплатная</t>
  </si>
  <si>
    <t>Microsoft</t>
  </si>
  <si>
    <t>количство Да</t>
  </si>
  <si>
    <t>количство Нет</t>
  </si>
  <si>
    <t>Office 2019</t>
  </si>
  <si>
    <t>Office 2021</t>
  </si>
  <si>
    <t>Office 2024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</si>
</sst>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16" fontId="0" fillId="0" borderId="0" xfId="0" applyNumberFormat="1"/>
  </cellXfs>
  <cellStyles count="1">
    <cellStyle name="Обычный" xfId="0" builtinId="0"/>
  </cellStyles>
  <dxfs count="4">
    <dxf>
      <font>
        <condense val="0"/>
        <extend val="0"/>
        <color rgb="FF9C65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ru-RU"/>
  <c:chart>
    <c:plotArea>
      <c:layout/>
      <c:pieChart>
        <c:varyColors val="1"/>
        <c:ser>
          <c:idx val="0"/>
          <c:order val="0"/>
          <c:val>
            <c:numRef>
              <c:f>справка!$B$17:$B$18</c:f>
              <c:numCache>
                <c:formatCode>General</c:formatCode>
                <c:ptCount val="2"/>
                <c:pt idx="0">
                  <c:v>5</c:v>
                </c:pt>
                <c:pt idx="1">
                  <c:v>14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ru-RU"/>
        </a:p>
      </c:txPr>
    </c:legend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ru-RU"/>
  <c:chart>
    <c:plotArea>
      <c:layout/>
      <c:barChart>
        <c:barDir val="col"/>
        <c:grouping val="clustered"/>
        <c:ser>
          <c:idx val="0"/>
          <c:order val="0"/>
          <c:cat>
            <c:strRef>
              <c:f>справка!$A$13:$A$15</c:f>
              <c:strCache>
                <c:ptCount val="3"/>
                <c:pt idx="0">
                  <c:v>Office 2019</c:v>
                </c:pt>
                <c:pt idx="1">
                  <c:v>Office 2021</c:v>
                </c:pt>
                <c:pt idx="2">
                  <c:v>Office 2024</c:v>
                </c:pt>
              </c:strCache>
            </c:strRef>
          </c:cat>
          <c:val>
            <c:numRef>
              <c:f>справка!$B$13:$B$15</c:f>
              <c:numCache>
                <c:formatCode>General</c:formatCode>
                <c:ptCount val="3"/>
                <c:pt idx="0">
                  <c:v>2018</c:v>
                </c:pt>
                <c:pt idx="1">
                  <c:v>2021</c:v>
                </c:pt>
                <c:pt idx="2">
                  <c:v>2024</c:v>
                </c:pt>
              </c:numCache>
            </c:numRef>
          </c:val>
        </c:ser>
        <c:axId val="143734656"/>
        <c:axId val="143736192"/>
      </c:barChart>
      <c:catAx>
        <c:axId val="143734656"/>
        <c:scaling>
          <c:orientation val="minMax"/>
        </c:scaling>
        <c:axPos val="b"/>
        <c:tickLblPos val="nextTo"/>
        <c:crossAx val="143736192"/>
        <c:crosses val="autoZero"/>
        <c:auto val="1"/>
        <c:lblAlgn val="ctr"/>
        <c:lblOffset val="100"/>
      </c:catAx>
      <c:valAx>
        <c:axId val="143736192"/>
        <c:scaling>
          <c:orientation val="minMax"/>
        </c:scaling>
        <c:axPos val="l"/>
        <c:majorGridlines/>
        <c:numFmt formatCode="General" sourceLinked="1"/>
        <c:tickLblPos val="nextTo"/>
        <c:crossAx val="143734656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403860</xdr:colOff>
      <xdr:row>5</xdr:row>
      <xdr:rowOff>160020</xdr:rowOff>
    </xdr:from>
    <xdr:to>
      <xdr:col>12</xdr:col>
      <xdr:colOff>99060</xdr:colOff>
      <xdr:row>20</xdr:row>
      <xdr:rowOff>160020</xdr:rowOff>
    </xdr:to>
    <xdr:graphicFrame macro="">
      <xdr:nvGraphicFramePr>
        <xdr:cNvPr id="10" name="Диаграмма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533400</xdr:colOff>
      <xdr:row>25</xdr:row>
      <xdr:rowOff>15240</xdr:rowOff>
    </xdr:from>
    <xdr:to>
      <xdr:col>12</xdr:col>
      <xdr:colOff>228600</xdr:colOff>
      <xdr:row>40</xdr:row>
      <xdr:rowOff>15240</xdr:rowOff>
    </xdr:to>
    <xdr:graphicFrame macro="">
      <xdr:nvGraphicFramePr>
        <xdr:cNvPr id="11" name="Диаграмма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0"/>
  <sheetViews>
    <sheetView topLeftCell="A27" workbookViewId="0">
      <selection sqref="A1:B30"/>
    </sheetView>
  </sheetViews>
  <sheetFormatPr defaultRowHeight="14.4"/>
  <cols>
    <col min="1" max="1" width="62.77734375" bestFit="1" customWidth="1"/>
    <col min="2" max="2" width="12" bestFit="1" customWidth="1"/>
  </cols>
  <sheetData>
    <row r="1" spans="1:2">
      <c r="A1" t="s">
        <v>41</v>
      </c>
      <c r="B1">
        <f>AVERAGE(справка!B14-справка!B13,справка!B15-справка!B14)</f>
        <v>3</v>
      </c>
    </row>
    <row r="2" spans="1:2">
      <c r="A2" t="s">
        <v>26</v>
      </c>
      <c r="B2">
        <f>IF(B4=справка!$A$13,справка!$B$13,IF(характеристики!B4=справка!$A$14,справка!$B$14,IF(характеристики!B4=справка!$A$15,справка!$B$15,0)))</f>
        <v>2021</v>
      </c>
    </row>
    <row r="3" spans="1:2">
      <c r="A3" t="s">
        <v>4</v>
      </c>
      <c r="B3">
        <f>1048576*16384</f>
        <v>17179869184</v>
      </c>
    </row>
    <row r="4" spans="1:2">
      <c r="A4" t="s">
        <v>1</v>
      </c>
      <c r="B4" t="s">
        <v>50</v>
      </c>
    </row>
    <row r="5" spans="1:2">
      <c r="A5" t="s">
        <v>37</v>
      </c>
      <c r="B5" t="str">
        <f>справка!B1</f>
        <v>Exel</v>
      </c>
    </row>
    <row r="6" spans="1:2">
      <c r="A6" t="s">
        <v>3</v>
      </c>
      <c r="B6" t="s">
        <v>44</v>
      </c>
    </row>
    <row r="7" spans="1:2">
      <c r="A7" t="s">
        <v>23</v>
      </c>
      <c r="B7" t="s">
        <v>45</v>
      </c>
    </row>
    <row r="8" spans="1:2">
      <c r="A8" t="s">
        <v>36</v>
      </c>
      <c r="B8" t="str">
        <f>VLOOKUP(справка!B3,справка!A7:B10,2,TRUE)</f>
        <v>высокая</v>
      </c>
    </row>
    <row r="9" spans="1:2">
      <c r="A9" t="s">
        <v>27</v>
      </c>
      <c r="B9" t="s">
        <v>42</v>
      </c>
    </row>
    <row r="10" spans="1:2">
      <c r="A10" t="s">
        <v>6</v>
      </c>
      <c r="B10" t="s">
        <v>42</v>
      </c>
    </row>
    <row r="11" spans="1:2">
      <c r="A11" t="s">
        <v>8</v>
      </c>
      <c r="B11" t="s">
        <v>42</v>
      </c>
    </row>
    <row r="12" spans="1:2">
      <c r="A12" t="s">
        <v>10</v>
      </c>
      <c r="B12" t="s">
        <v>42</v>
      </c>
    </row>
    <row r="13" spans="1:2">
      <c r="A13" t="s">
        <v>11</v>
      </c>
      <c r="B13" t="s">
        <v>42</v>
      </c>
    </row>
    <row r="14" spans="1:2">
      <c r="A14" t="s">
        <v>12</v>
      </c>
      <c r="B14" t="s">
        <v>42</v>
      </c>
    </row>
    <row r="15" spans="1:2">
      <c r="A15" t="s">
        <v>14</v>
      </c>
      <c r="B15" t="s">
        <v>42</v>
      </c>
    </row>
    <row r="16" spans="1:2">
      <c r="A16" t="s">
        <v>20</v>
      </c>
      <c r="B16" t="s">
        <v>42</v>
      </c>
    </row>
    <row r="17" spans="1:9">
      <c r="A17" t="s">
        <v>22</v>
      </c>
      <c r="B17" t="s">
        <v>42</v>
      </c>
    </row>
    <row r="18" spans="1:9">
      <c r="A18" t="s">
        <v>13</v>
      </c>
      <c r="B18" t="s">
        <v>42</v>
      </c>
    </row>
    <row r="19" spans="1:9">
      <c r="A19" t="s">
        <v>15</v>
      </c>
      <c r="B19" t="s">
        <v>42</v>
      </c>
    </row>
    <row r="20" spans="1:9">
      <c r="A20" t="s">
        <v>16</v>
      </c>
      <c r="B20" t="s">
        <v>42</v>
      </c>
    </row>
    <row r="21" spans="1:9">
      <c r="A21" t="s">
        <v>17</v>
      </c>
      <c r="B21" t="s">
        <v>42</v>
      </c>
    </row>
    <row r="22" spans="1:9">
      <c r="A22" t="s">
        <v>18</v>
      </c>
      <c r="B22" t="s">
        <v>42</v>
      </c>
      <c r="H22">
        <v>1</v>
      </c>
      <c r="I22" t="s">
        <v>43</v>
      </c>
    </row>
    <row r="23" spans="1:9">
      <c r="A23" t="s">
        <v>28</v>
      </c>
      <c r="B23" t="s">
        <v>43</v>
      </c>
      <c r="H23">
        <v>2</v>
      </c>
      <c r="I23" t="s">
        <v>42</v>
      </c>
    </row>
    <row r="24" spans="1:9">
      <c r="A24" t="s">
        <v>7</v>
      </c>
      <c r="B24" t="s">
        <v>43</v>
      </c>
    </row>
    <row r="25" spans="1:9">
      <c r="A25" t="s">
        <v>9</v>
      </c>
      <c r="B25" t="s">
        <v>43</v>
      </c>
    </row>
    <row r="26" spans="1:9">
      <c r="A26" t="s">
        <v>5</v>
      </c>
      <c r="B26" t="s">
        <v>43</v>
      </c>
    </row>
    <row r="27" spans="1:9">
      <c r="A27" t="s">
        <v>29</v>
      </c>
      <c r="B27" t="s">
        <v>43</v>
      </c>
    </row>
    <row r="28" spans="1:9">
      <c r="A28" t="s">
        <v>19</v>
      </c>
    </row>
    <row r="29" spans="1:9">
      <c r="A29" t="s">
        <v>21</v>
      </c>
    </row>
    <row r="30" spans="1:9">
      <c r="A30" t="s">
        <v>24</v>
      </c>
    </row>
  </sheetData>
  <sheetProtection password="C71F" sheet="1" objects="1" scenarios="1" selectLockedCells="1" selectUnlockedCells="1"/>
  <sortState ref="A1:B30">
    <sortCondition ref="B8"/>
  </sortState>
  <conditionalFormatting sqref="B1:B1048576">
    <cfRule type="containsText" dxfId="3" priority="3" operator="containsText" text="Нет">
      <formula>NOT(ISERROR(SEARCH("Нет",B1)))</formula>
    </cfRule>
    <cfRule type="containsText" dxfId="2" priority="4" operator="containsText" text="Да">
      <formula>NOT(ISERROR(SEARCH("Да",B1)))</formula>
    </cfRule>
  </conditionalFormatting>
  <conditionalFormatting sqref="B29">
    <cfRule type="containsText" dxfId="1" priority="2" operator="containsText" text="платная">
      <formula>NOT(ISERROR(SEARCH("платная",B29)))</formula>
    </cfRule>
    <cfRule type="containsText" dxfId="0" priority="1" operator="containsText" text="бесплатная">
      <formula>NOT(ISERROR(SEARCH("бесплатная",B29)))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8"/>
  <sheetViews>
    <sheetView tabSelected="1" workbookViewId="0">
      <selection sqref="A1:B18"/>
    </sheetView>
  </sheetViews>
  <sheetFormatPr defaultRowHeight="14.4"/>
  <cols>
    <col min="1" max="1" width="20.21875" bestFit="1" customWidth="1"/>
    <col min="2" max="2" width="12.33203125" bestFit="1" customWidth="1"/>
  </cols>
  <sheetData>
    <row r="1" spans="1:2">
      <c r="A1" t="s">
        <v>0</v>
      </c>
      <c r="B1" t="s">
        <v>40</v>
      </c>
    </row>
    <row r="2" spans="1:2">
      <c r="A2" t="s">
        <v>2</v>
      </c>
      <c r="B2" t="s">
        <v>46</v>
      </c>
    </row>
    <row r="3" spans="1:2">
      <c r="A3" t="s">
        <v>25</v>
      </c>
      <c r="B3">
        <v>10000</v>
      </c>
    </row>
    <row r="6" spans="1:2">
      <c r="A6" s="1" t="s">
        <v>30</v>
      </c>
      <c r="B6" s="2" t="s">
        <v>31</v>
      </c>
    </row>
    <row r="7" spans="1:2">
      <c r="A7">
        <v>0</v>
      </c>
      <c r="B7" s="3" t="s">
        <v>32</v>
      </c>
    </row>
    <row r="8" spans="1:2">
      <c r="A8">
        <v>1001</v>
      </c>
      <c r="B8" s="3" t="s">
        <v>33</v>
      </c>
    </row>
    <row r="9" spans="1:2">
      <c r="A9">
        <v>5001</v>
      </c>
      <c r="B9" s="3" t="s">
        <v>34</v>
      </c>
    </row>
    <row r="10" spans="1:2">
      <c r="A10" s="5">
        <v>10001</v>
      </c>
      <c r="B10" s="4" t="s">
        <v>35</v>
      </c>
    </row>
    <row r="12" spans="1:2">
      <c r="A12" s="1" t="s">
        <v>38</v>
      </c>
      <c r="B12" s="2" t="s">
        <v>39</v>
      </c>
    </row>
    <row r="13" spans="1:2">
      <c r="A13" s="6" t="s">
        <v>49</v>
      </c>
      <c r="B13" s="3">
        <v>2018</v>
      </c>
    </row>
    <row r="14" spans="1:2">
      <c r="A14" t="s">
        <v>50</v>
      </c>
      <c r="B14" s="3">
        <v>2021</v>
      </c>
    </row>
    <row r="15" spans="1:2">
      <c r="A15" s="5" t="s">
        <v>51</v>
      </c>
      <c r="B15" s="4">
        <v>2024</v>
      </c>
    </row>
    <row r="17" spans="1:2">
      <c r="A17" s="1" t="s">
        <v>48</v>
      </c>
      <c r="B17" s="2">
        <f>COUNTIF(характеристики!B:B,"Нет")</f>
        <v>5</v>
      </c>
    </row>
    <row r="18" spans="1:2">
      <c r="A18" s="5" t="s">
        <v>47</v>
      </c>
      <c r="B18" s="4">
        <f>COUNTIF(характеристики!B:B,"Да")</f>
        <v>14</v>
      </c>
    </row>
  </sheetData>
  <sheetProtection password="C71F" sheet="1" objects="1" scenarios="1" selectLockedCells="1" selectUnlockedCell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характеристики</vt:lpstr>
      <vt:lpstr>справка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2026-01-01T07:45:49Z</dcterms:created>
  <dcterms:modified xsi:type="dcterms:W3CDTF">2026-01-01T11:26:20Z</dcterms:modified>
</cp:coreProperties>
</file>